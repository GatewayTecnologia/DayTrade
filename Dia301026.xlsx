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48" i="1" l="1"/>
  <c r="J48" i="1"/>
  <c r="I48" i="1"/>
</calcChain>
</file>

<file path=xl/sharedStrings.xml><?xml version="1.0" encoding="utf-8"?>
<sst xmlns="http://schemas.openxmlformats.org/spreadsheetml/2006/main" count="328" uniqueCount="107">
  <si>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</si>
  <si>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</si>
  <si>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</si>
  <si>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</si>
  <si>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</si>
  <si>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</si>
  <si>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2026.10.30 10:16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</si>
  <si>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</si>
  <si>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</si>
  <si>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</si>
  <si>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</si>
  <si>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</si>
  <si>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</si>
  <si>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</si>
  <si>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</si>
  <si>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</si>
  <si>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</si>
  <si>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</si>
  <si>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</si>
  <si>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2026.10.30 09:14:48</t>
  </si>
  <si>
    <t>WINZ26</t>
  </si>
  <si>
    <t>sell</t>
  </si>
  <si>
    <t>2</t>
  </si>
  <si>
    <t>2026.10.30 09:20:23</t>
  </si>
  <si>
    <t>2026.10.30 09:20:43</t>
  </si>
  <si>
    <t>2026.10.30 09:26:42</t>
  </si>
  <si>
    <t>2026.10.30 09:27:17</t>
  </si>
  <si>
    <t>1</t>
  </si>
  <si>
    <t>2026.10.30 09:30:57</t>
  </si>
  <si>
    <t>2026.10.30 09:31:17</t>
  </si>
  <si>
    <t>2026.10.30 09:36:05</t>
  </si>
  <si>
    <t>2026.10.30 09:36:56</t>
  </si>
  <si>
    <t>2026.10.30 09:42:38</t>
  </si>
  <si>
    <t>2026.10.30 09:48:21</t>
  </si>
  <si>
    <t>2026.10.30 10:16:17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</si>
  <si>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</si>
  <si>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</si>
  <si>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</si>
  <si>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</si>
  <si>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</si>
  <si>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</si>
  <si>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</si>
  <si>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</si>
  <si>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</si>
  <si>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2026.10.30 09:18:59</t>
  </si>
  <si>
    <t>Preço Médio Venda</t>
  </si>
  <si>
    <t>buy</t>
  </si>
  <si>
    <t>2 / 2</t>
  </si>
  <si>
    <t>[tp 170305]</t>
  </si>
  <si>
    <t>2026.10.30 09:25:08</t>
  </si>
  <si>
    <t>[tp 170285]</t>
  </si>
  <si>
    <t>[sl 170120]</t>
  </si>
  <si>
    <t>[tp 169775]</t>
  </si>
  <si>
    <t>[sl 169645]</t>
  </si>
  <si>
    <t>2026.10.30 09:51:44</t>
  </si>
  <si>
    <t>[tp 169210]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</si>
  <si>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</si>
  <si>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</si>
  <si>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</si>
  <si>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</si>
  <si>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</si>
  <si>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</si>
  <si>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</si>
  <si>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</si>
  <si>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</si>
  <si>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</si>
  <si>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</si>
  <si>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</si>
  <si>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</si>
  <si>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</si>
  <si>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</si>
  <si>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</si>
  <si>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</si>
  <si>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</si>
  <si>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</si>
  <si>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</si>
  <si>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</si>
  <si>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</si>
  <si>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</si>
  <si>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</si>
  <si>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</si>
  <si>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0.00 (0.00%)</t>
  </si>
  <si>
    <t>Rebaixamento Relativo do Saldo :</t>
  </si>
  <si>
    <t>0.00% (0.00)</t>
  </si>
  <si>
    <t>Total de Negociações:</t>
  </si>
  <si>
    <t>Posições Vendidas (% e ganhos):</t>
  </si>
  <si>
    <t>6 (100.00%)</t>
  </si>
  <si>
    <t>Posições Compradas (% de ganhos):</t>
  </si>
  <si>
    <t>0 (0.00%)</t>
  </si>
  <si>
    <t>Negociações com Lucro (% of total):</t>
  </si>
  <si>
    <t>Negociações com Perda (% of total):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</si>
  <si>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</si>
  <si>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</si>
  <si>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</si>
  <si>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</si>
  <si>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</si>
  <si>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6 (211.00)</t>
  </si>
  <si>
    <t>Máximo perdas consecutivas ($):</t>
  </si>
  <si>
    <t>0 (0.00)</t>
  </si>
  <si>
    <t>Máxima lucro consecutivo (contagem):</t>
  </si>
  <si>
    <t>211.00 (6)</t>
  </si>
  <si>
    <t>Máxima perda consecutiva (contagem):</t>
  </si>
  <si>
    <t>0.00 (0)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</si>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</sst>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Sheet1!$A$33:$A$47</c:f>
              <c:strCache>
                <c:ptCount val="15"/>
                <c:pt idx="0">
                  <c:v>2026.10.30 09:14:48</c:v>
                </c:pt>
                <c:pt idx="1">
                  <c:v>2026.10.30 09:18:59</c:v>
                </c:pt>
                <c:pt idx="2">
                  <c:v>2026.10.30 09:20:23</c:v>
                </c:pt>
                <c:pt idx="3">
                  <c:v>2026.10.30 09:20:43</c:v>
                </c:pt>
                <c:pt idx="4">
                  <c:v>2026.10.30 09:25:08</c:v>
                </c:pt>
                <c:pt idx="5">
                  <c:v>2026.10.30 09:26:42</c:v>
                </c:pt>
                <c:pt idx="6">
                  <c:v>2026.10.30 09:27:17</c:v>
                </c:pt>
                <c:pt idx="7">
                  <c:v>2026.10.30 09:30:57</c:v>
                </c:pt>
                <c:pt idx="8">
                  <c:v>2026.10.30 09:31:17</c:v>
                </c:pt>
                <c:pt idx="9">
                  <c:v>2026.10.30 09:36:05</c:v>
                </c:pt>
                <c:pt idx="10">
                  <c:v>2026.10.30 09:36:56</c:v>
                </c:pt>
                <c:pt idx="11">
                  <c:v>2026.10.30 09:42:38</c:v>
                </c:pt>
                <c:pt idx="12">
                  <c:v>2026.10.30 09:48:21</c:v>
                </c:pt>
                <c:pt idx="13">
                  <c:v>2026.10.30 09:51:44</c:v>
                </c:pt>
                <c:pt idx="14">
                  <c:v>2026.10.30 10:16:17</c:v>
                </c:pt>
              </c:strCache>
            </c:strRef>
          </c:cat>
          <c:val>
            <c:numRef>
              <c:f>Sheet1!$M$33:$M$47</c:f>
              <c:numCache>
                <c:formatCode>#\ ##0.00;\-#\ ##0.00;0.00;</c:formatCode>
                <c:ptCount val="15"/>
                <c:pt idx="0">
                  <c:v>1009083</c:v>
                </c:pt>
                <c:pt idx="1">
                  <c:v>1009083</c:v>
                </c:pt>
                <c:pt idx="2">
                  <c:v>1009119</c:v>
                </c:pt>
                <c:pt idx="3">
                  <c:v>1009119</c:v>
                </c:pt>
                <c:pt idx="4">
                  <c:v>1009119</c:v>
                </c:pt>
                <c:pt idx="5">
                  <c:v>1009154</c:v>
                </c:pt>
                <c:pt idx="6">
                  <c:v>1009154</c:v>
                </c:pt>
                <c:pt idx="7">
                  <c:v>1009180</c:v>
                </c:pt>
                <c:pt idx="8">
                  <c:v>1009180</c:v>
                </c:pt>
                <c:pt idx="9">
                  <c:v>1009232</c:v>
                </c:pt>
                <c:pt idx="10">
                  <c:v>1009232</c:v>
                </c:pt>
                <c:pt idx="11">
                  <c:v>1009258</c:v>
                </c:pt>
                <c:pt idx="12">
                  <c:v>1009258</c:v>
                </c:pt>
                <c:pt idx="13">
                  <c:v>1009258</c:v>
                </c:pt>
                <c:pt idx="14">
                  <c:v>1009294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9109248"/>
        <c:axId val="2138762064"/>
      </c:lineChart>
      <c:catAx>
        <c:axId val="2139109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2138762064"/>
        <c:crosses val="autoZero"/>
        <c:auto val="1"/>
        <c:lblAlgn val="ctr"/>
        <c:lblOffset val="100"/>
        <c:noMultiLvlLbl val="0"/>
      </c:catAx>
      <c:valAx>
        <c:axId val="2138762064"/>
        <c:scaling>
          <c:orientation val="minMax"/>
          <c:max val="1110223"/>
          <c:min val="908175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2139109248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52</xdr:row>
      <xdr:rowOff>0</xdr:rowOff>
    </xdr:from>
    <xdr:to>
      <xdr:col>14</xdr:col>
      <xdr:colOff>0</xdr:colOff>
      <xdr:row>72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5"/>
  <sheetViews>
    <sheetView tabSelected="1" workbookViewId="0">
      <selection activeCell="D4" sqref="D4:O4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105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106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2580634547</v>
      </c>
      <c r="C8" s="2" t="s">
        <v>20</v>
      </c>
      <c r="D8" s="2" t="s">
        <v>21</v>
      </c>
      <c r="E8" s="2" t="s">
        <v>22</v>
      </c>
      <c r="F8" s="4">
        <v>170395</v>
      </c>
      <c r="G8" s="4">
        <v>170895</v>
      </c>
      <c r="H8" s="4">
        <v>170305</v>
      </c>
      <c r="I8" s="2" t="s">
        <v>23</v>
      </c>
      <c r="J8" s="4">
        <v>170305</v>
      </c>
      <c r="K8" s="5">
        <v>0</v>
      </c>
      <c r="L8" s="5">
        <v>0</v>
      </c>
      <c r="M8" s="16">
        <v>36</v>
      </c>
      <c r="N8" s="16"/>
      <c r="O8" s="16"/>
    </row>
    <row r="9" spans="1:15" ht="15" customHeight="1" x14ac:dyDescent="0.2">
      <c r="A9" s="6" t="s">
        <v>24</v>
      </c>
      <c r="B9" s="7">
        <v>2580655281</v>
      </c>
      <c r="C9" s="6" t="s">
        <v>20</v>
      </c>
      <c r="D9" s="6" t="s">
        <v>21</v>
      </c>
      <c r="E9" s="6" t="s">
        <v>22</v>
      </c>
      <c r="F9" s="8">
        <v>170372.5</v>
      </c>
      <c r="G9" s="8">
        <v>170875</v>
      </c>
      <c r="H9" s="8">
        <v>170285</v>
      </c>
      <c r="I9" s="6" t="s">
        <v>25</v>
      </c>
      <c r="J9" s="8">
        <v>170285</v>
      </c>
      <c r="K9" s="9">
        <v>0</v>
      </c>
      <c r="L9" s="9">
        <v>0</v>
      </c>
      <c r="M9" s="17">
        <v>35</v>
      </c>
      <c r="N9" s="17"/>
      <c r="O9" s="17"/>
    </row>
    <row r="10" spans="1:15" ht="15" customHeight="1" x14ac:dyDescent="0.2">
      <c r="A10" s="2" t="s">
        <v>26</v>
      </c>
      <c r="B10" s="3">
        <v>2580673003</v>
      </c>
      <c r="C10" s="2" t="s">
        <v>20</v>
      </c>
      <c r="D10" s="2" t="s">
        <v>21</v>
      </c>
      <c r="E10" s="2" t="s">
        <v>27</v>
      </c>
      <c r="F10" s="4">
        <v>170250</v>
      </c>
      <c r="G10" s="4">
        <v>170120</v>
      </c>
      <c r="H10" s="4">
        <v>169990</v>
      </c>
      <c r="I10" s="2" t="s">
        <v>28</v>
      </c>
      <c r="J10" s="4">
        <v>170120</v>
      </c>
      <c r="K10" s="5">
        <v>0</v>
      </c>
      <c r="L10" s="5">
        <v>0</v>
      </c>
      <c r="M10" s="16">
        <v>26</v>
      </c>
      <c r="N10" s="16"/>
      <c r="O10" s="16"/>
    </row>
    <row r="11" spans="1:15" ht="15" customHeight="1" x14ac:dyDescent="0.2">
      <c r="A11" s="6" t="s">
        <v>29</v>
      </c>
      <c r="B11" s="7">
        <v>2580684798</v>
      </c>
      <c r="C11" s="6" t="s">
        <v>20</v>
      </c>
      <c r="D11" s="6" t="s">
        <v>21</v>
      </c>
      <c r="E11" s="6" t="s">
        <v>27</v>
      </c>
      <c r="F11" s="8">
        <v>170035</v>
      </c>
      <c r="G11" s="8">
        <v>169905</v>
      </c>
      <c r="H11" s="8">
        <v>169775</v>
      </c>
      <c r="I11" s="6" t="s">
        <v>30</v>
      </c>
      <c r="J11" s="8">
        <v>169775</v>
      </c>
      <c r="K11" s="9">
        <v>0</v>
      </c>
      <c r="L11" s="9">
        <v>0</v>
      </c>
      <c r="M11" s="17">
        <v>52</v>
      </c>
      <c r="N11" s="17"/>
      <c r="O11" s="17"/>
    </row>
    <row r="12" spans="1:15" ht="15" customHeight="1" x14ac:dyDescent="0.2">
      <c r="A12" s="2" t="s">
        <v>31</v>
      </c>
      <c r="B12" s="3">
        <v>2580702199</v>
      </c>
      <c r="C12" s="2" t="s">
        <v>20</v>
      </c>
      <c r="D12" s="2" t="s">
        <v>21</v>
      </c>
      <c r="E12" s="2" t="s">
        <v>27</v>
      </c>
      <c r="F12" s="4">
        <v>169775</v>
      </c>
      <c r="G12" s="4">
        <v>169645</v>
      </c>
      <c r="H12" s="4">
        <v>169515</v>
      </c>
      <c r="I12" s="2" t="s">
        <v>32</v>
      </c>
      <c r="J12" s="4">
        <v>169645</v>
      </c>
      <c r="K12" s="5">
        <v>0</v>
      </c>
      <c r="L12" s="5">
        <v>0</v>
      </c>
      <c r="M12" s="16">
        <v>26</v>
      </c>
      <c r="N12" s="16"/>
      <c r="O12" s="16"/>
    </row>
    <row r="13" spans="1:15" ht="15" customHeight="1" x14ac:dyDescent="0.2">
      <c r="A13" s="6" t="s">
        <v>33</v>
      </c>
      <c r="B13" s="7">
        <v>2580737339</v>
      </c>
      <c r="C13" s="6" t="s">
        <v>20</v>
      </c>
      <c r="D13" s="6" t="s">
        <v>21</v>
      </c>
      <c r="E13" s="6" t="s">
        <v>22</v>
      </c>
      <c r="F13" s="8">
        <v>169300</v>
      </c>
      <c r="G13" s="8">
        <v>169800</v>
      </c>
      <c r="H13" s="8">
        <v>169210</v>
      </c>
      <c r="I13" s="6" t="s">
        <v>34</v>
      </c>
      <c r="J13" s="8">
        <v>169210</v>
      </c>
      <c r="K13" s="9">
        <v>0</v>
      </c>
      <c r="L13" s="9">
        <v>0</v>
      </c>
      <c r="M13" s="17">
        <v>36</v>
      </c>
      <c r="N13" s="17"/>
      <c r="O13" s="17"/>
    </row>
    <row r="14" spans="1:15" ht="24.95" customHeight="1" x14ac:dyDescent="0.2">
      <c r="A14" s="14" t="s">
        <v>35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</row>
    <row r="15" spans="1:15" ht="20.100000000000001" customHeight="1" x14ac:dyDescent="0.2">
      <c r="A15" s="1" t="s">
        <v>36</v>
      </c>
      <c r="B15" s="1" t="s">
        <v>37</v>
      </c>
      <c r="C15" s="1" t="s">
        <v>10</v>
      </c>
      <c r="D15" s="1" t="s">
        <v>11</v>
      </c>
      <c r="E15" s="1" t="s">
        <v>12</v>
      </c>
      <c r="F15" s="1" t="s">
        <v>13</v>
      </c>
      <c r="G15" s="1" t="s">
        <v>14</v>
      </c>
      <c r="H15" s="1" t="s">
        <v>15</v>
      </c>
      <c r="I15" s="1" t="s">
        <v>8</v>
      </c>
      <c r="J15" s="15" t="s">
        <v>38</v>
      </c>
      <c r="K15" s="15"/>
      <c r="L15" s="15" t="s">
        <v>39</v>
      </c>
      <c r="M15" s="15"/>
      <c r="N15" s="15"/>
      <c r="O15" s="15"/>
    </row>
    <row r="16" spans="1:15" ht="15" customHeight="1" x14ac:dyDescent="0.2">
      <c r="A16" s="2" t="s">
        <v>19</v>
      </c>
      <c r="B16" s="3">
        <v>2580634547</v>
      </c>
      <c r="C16" s="2" t="s">
        <v>20</v>
      </c>
      <c r="D16" s="2" t="s">
        <v>21</v>
      </c>
      <c r="E16" s="2" t="s">
        <v>40</v>
      </c>
      <c r="F16" s="2" t="s">
        <v>41</v>
      </c>
      <c r="G16" s="4">
        <v>170775</v>
      </c>
      <c r="H16" s="4">
        <v>170015</v>
      </c>
      <c r="I16" s="2" t="s">
        <v>19</v>
      </c>
      <c r="J16" s="18" t="s">
        <v>42</v>
      </c>
      <c r="K16" s="18"/>
      <c r="L16" s="18" t="s">
        <v>43</v>
      </c>
      <c r="M16" s="18"/>
      <c r="N16" s="18"/>
      <c r="O16" s="18"/>
    </row>
    <row r="17" spans="1:15" ht="15" customHeight="1" x14ac:dyDescent="0.2">
      <c r="A17" s="6" t="s">
        <v>44</v>
      </c>
      <c r="B17" s="7">
        <v>2580649609</v>
      </c>
      <c r="C17" s="6" t="s">
        <v>20</v>
      </c>
      <c r="D17" s="6" t="s">
        <v>21</v>
      </c>
      <c r="E17" s="6" t="s">
        <v>40</v>
      </c>
      <c r="F17" s="6" t="s">
        <v>41</v>
      </c>
      <c r="G17" s="8">
        <v>171015</v>
      </c>
      <c r="H17" s="8">
        <v>170425</v>
      </c>
      <c r="I17" s="6" t="s">
        <v>44</v>
      </c>
      <c r="J17" s="19" t="s">
        <v>42</v>
      </c>
      <c r="K17" s="19"/>
      <c r="L17" s="19" t="s">
        <v>45</v>
      </c>
      <c r="M17" s="19"/>
      <c r="N17" s="19"/>
      <c r="O17" s="19"/>
    </row>
    <row r="18" spans="1:15" ht="15" customHeight="1" x14ac:dyDescent="0.2">
      <c r="A18" s="2" t="s">
        <v>23</v>
      </c>
      <c r="B18" s="3">
        <v>2580653585</v>
      </c>
      <c r="C18" s="2" t="s">
        <v>20</v>
      </c>
      <c r="D18" s="2" t="s">
        <v>46</v>
      </c>
      <c r="E18" s="2" t="s">
        <v>47</v>
      </c>
      <c r="F18" s="4">
        <v>170305</v>
      </c>
      <c r="G18" s="2"/>
      <c r="H18" s="2"/>
      <c r="I18" s="2" t="s">
        <v>23</v>
      </c>
      <c r="J18" s="18" t="s">
        <v>42</v>
      </c>
      <c r="K18" s="18"/>
      <c r="L18" s="18" t="s">
        <v>48</v>
      </c>
      <c r="M18" s="18"/>
      <c r="N18" s="18"/>
      <c r="O18" s="18"/>
    </row>
    <row r="19" spans="1:15" ht="15" customHeight="1" x14ac:dyDescent="0.2">
      <c r="A19" s="6" t="s">
        <v>24</v>
      </c>
      <c r="B19" s="7">
        <v>2580655281</v>
      </c>
      <c r="C19" s="6" t="s">
        <v>20</v>
      </c>
      <c r="D19" s="6" t="s">
        <v>21</v>
      </c>
      <c r="E19" s="6" t="s">
        <v>40</v>
      </c>
      <c r="F19" s="6" t="s">
        <v>41</v>
      </c>
      <c r="G19" s="8">
        <v>170755</v>
      </c>
      <c r="H19" s="8">
        <v>169995</v>
      </c>
      <c r="I19" s="6" t="s">
        <v>24</v>
      </c>
      <c r="J19" s="19" t="s">
        <v>42</v>
      </c>
      <c r="K19" s="19"/>
      <c r="L19" s="19" t="s">
        <v>43</v>
      </c>
      <c r="M19" s="19"/>
      <c r="N19" s="19"/>
      <c r="O19" s="19"/>
    </row>
    <row r="20" spans="1:15" ht="15" customHeight="1" x14ac:dyDescent="0.2">
      <c r="A20" s="2" t="s">
        <v>49</v>
      </c>
      <c r="B20" s="3">
        <v>2580667628</v>
      </c>
      <c r="C20" s="2" t="s">
        <v>20</v>
      </c>
      <c r="D20" s="2" t="s">
        <v>21</v>
      </c>
      <c r="E20" s="2" t="s">
        <v>40</v>
      </c>
      <c r="F20" s="2" t="s">
        <v>41</v>
      </c>
      <c r="G20" s="4">
        <v>170995</v>
      </c>
      <c r="H20" s="4">
        <v>170405</v>
      </c>
      <c r="I20" s="2" t="s">
        <v>49</v>
      </c>
      <c r="J20" s="18" t="s">
        <v>42</v>
      </c>
      <c r="K20" s="18"/>
      <c r="L20" s="18" t="s">
        <v>45</v>
      </c>
      <c r="M20" s="18"/>
      <c r="N20" s="18"/>
      <c r="O20" s="18"/>
    </row>
    <row r="21" spans="1:15" ht="15" customHeight="1" x14ac:dyDescent="0.2">
      <c r="A21" s="6" t="s">
        <v>25</v>
      </c>
      <c r="B21" s="7">
        <v>2580671788</v>
      </c>
      <c r="C21" s="6" t="s">
        <v>20</v>
      </c>
      <c r="D21" s="6" t="s">
        <v>46</v>
      </c>
      <c r="E21" s="6" t="s">
        <v>47</v>
      </c>
      <c r="F21" s="8">
        <v>170285</v>
      </c>
      <c r="G21" s="6"/>
      <c r="H21" s="6"/>
      <c r="I21" s="6" t="s">
        <v>25</v>
      </c>
      <c r="J21" s="19" t="s">
        <v>42</v>
      </c>
      <c r="K21" s="19"/>
      <c r="L21" s="19" t="s">
        <v>50</v>
      </c>
      <c r="M21" s="19"/>
      <c r="N21" s="19"/>
      <c r="O21" s="19"/>
    </row>
    <row r="22" spans="1:15" ht="15" customHeight="1" x14ac:dyDescent="0.2">
      <c r="A22" s="2" t="s">
        <v>26</v>
      </c>
      <c r="B22" s="3">
        <v>2580673003</v>
      </c>
      <c r="C22" s="2" t="s">
        <v>20</v>
      </c>
      <c r="D22" s="2" t="s">
        <v>21</v>
      </c>
      <c r="E22" s="2" t="s">
        <v>40</v>
      </c>
      <c r="F22" s="2" t="s">
        <v>41</v>
      </c>
      <c r="G22" s="4">
        <v>170750</v>
      </c>
      <c r="H22" s="4">
        <v>169990</v>
      </c>
      <c r="I22" s="2" t="s">
        <v>26</v>
      </c>
      <c r="J22" s="18" t="s">
        <v>42</v>
      </c>
      <c r="K22" s="18"/>
      <c r="L22" s="18" t="s">
        <v>43</v>
      </c>
      <c r="M22" s="18"/>
      <c r="N22" s="18"/>
      <c r="O22" s="18"/>
    </row>
    <row r="23" spans="1:15" ht="15" customHeight="1" x14ac:dyDescent="0.2">
      <c r="A23" s="6" t="s">
        <v>28</v>
      </c>
      <c r="B23" s="7">
        <v>2580681927</v>
      </c>
      <c r="C23" s="6" t="s">
        <v>20</v>
      </c>
      <c r="D23" s="6" t="s">
        <v>46</v>
      </c>
      <c r="E23" s="6" t="s">
        <v>40</v>
      </c>
      <c r="F23" s="8">
        <v>170120</v>
      </c>
      <c r="G23" s="6"/>
      <c r="H23" s="6"/>
      <c r="I23" s="6" t="s">
        <v>28</v>
      </c>
      <c r="J23" s="19" t="s">
        <v>42</v>
      </c>
      <c r="K23" s="19"/>
      <c r="L23" s="19" t="s">
        <v>51</v>
      </c>
      <c r="M23" s="19"/>
      <c r="N23" s="19"/>
      <c r="O23" s="19"/>
    </row>
    <row r="24" spans="1:15" ht="15" customHeight="1" x14ac:dyDescent="0.2">
      <c r="A24" s="2" t="s">
        <v>29</v>
      </c>
      <c r="B24" s="3">
        <v>2580684798</v>
      </c>
      <c r="C24" s="2" t="s">
        <v>20</v>
      </c>
      <c r="D24" s="2" t="s">
        <v>21</v>
      </c>
      <c r="E24" s="2" t="s">
        <v>40</v>
      </c>
      <c r="F24" s="2" t="s">
        <v>41</v>
      </c>
      <c r="G24" s="4">
        <v>170535</v>
      </c>
      <c r="H24" s="4">
        <v>169775</v>
      </c>
      <c r="I24" s="2" t="s">
        <v>29</v>
      </c>
      <c r="J24" s="18" t="s">
        <v>42</v>
      </c>
      <c r="K24" s="18"/>
      <c r="L24" s="18" t="s">
        <v>43</v>
      </c>
      <c r="M24" s="18"/>
      <c r="N24" s="18"/>
      <c r="O24" s="18"/>
    </row>
    <row r="25" spans="1:15" ht="15" customHeight="1" x14ac:dyDescent="0.2">
      <c r="A25" s="6" t="s">
        <v>30</v>
      </c>
      <c r="B25" s="7">
        <v>2580700455</v>
      </c>
      <c r="C25" s="6" t="s">
        <v>20</v>
      </c>
      <c r="D25" s="6" t="s">
        <v>46</v>
      </c>
      <c r="E25" s="6" t="s">
        <v>40</v>
      </c>
      <c r="F25" s="8">
        <v>169775</v>
      </c>
      <c r="G25" s="6"/>
      <c r="H25" s="6"/>
      <c r="I25" s="6" t="s">
        <v>30</v>
      </c>
      <c r="J25" s="19" t="s">
        <v>42</v>
      </c>
      <c r="K25" s="19"/>
      <c r="L25" s="19" t="s">
        <v>52</v>
      </c>
      <c r="M25" s="19"/>
      <c r="N25" s="19"/>
      <c r="O25" s="19"/>
    </row>
    <row r="26" spans="1:15" ht="15" customHeight="1" x14ac:dyDescent="0.2">
      <c r="A26" s="2" t="s">
        <v>31</v>
      </c>
      <c r="B26" s="3">
        <v>2580702199</v>
      </c>
      <c r="C26" s="2" t="s">
        <v>20</v>
      </c>
      <c r="D26" s="2" t="s">
        <v>21</v>
      </c>
      <c r="E26" s="2" t="s">
        <v>40</v>
      </c>
      <c r="F26" s="2" t="s">
        <v>41</v>
      </c>
      <c r="G26" s="4">
        <v>170275</v>
      </c>
      <c r="H26" s="4">
        <v>169515</v>
      </c>
      <c r="I26" s="2" t="s">
        <v>31</v>
      </c>
      <c r="J26" s="18" t="s">
        <v>42</v>
      </c>
      <c r="K26" s="18"/>
      <c r="L26" s="18" t="s">
        <v>43</v>
      </c>
      <c r="M26" s="18"/>
      <c r="N26" s="18"/>
      <c r="O26" s="18"/>
    </row>
    <row r="27" spans="1:15" ht="15" customHeight="1" x14ac:dyDescent="0.2">
      <c r="A27" s="6" t="s">
        <v>32</v>
      </c>
      <c r="B27" s="7">
        <v>2580716463</v>
      </c>
      <c r="C27" s="6" t="s">
        <v>20</v>
      </c>
      <c r="D27" s="6" t="s">
        <v>46</v>
      </c>
      <c r="E27" s="6" t="s">
        <v>40</v>
      </c>
      <c r="F27" s="8">
        <v>169645</v>
      </c>
      <c r="G27" s="6"/>
      <c r="H27" s="6"/>
      <c r="I27" s="6" t="s">
        <v>32</v>
      </c>
      <c r="J27" s="19" t="s">
        <v>42</v>
      </c>
      <c r="K27" s="19"/>
      <c r="L27" s="19" t="s">
        <v>53</v>
      </c>
      <c r="M27" s="19"/>
      <c r="N27" s="19"/>
      <c r="O27" s="19"/>
    </row>
    <row r="28" spans="1:15" ht="15" customHeight="1" x14ac:dyDescent="0.2">
      <c r="A28" s="2" t="s">
        <v>33</v>
      </c>
      <c r="B28" s="3">
        <v>2580737339</v>
      </c>
      <c r="C28" s="2" t="s">
        <v>20</v>
      </c>
      <c r="D28" s="2" t="s">
        <v>21</v>
      </c>
      <c r="E28" s="2" t="s">
        <v>40</v>
      </c>
      <c r="F28" s="2" t="s">
        <v>41</v>
      </c>
      <c r="G28" s="4">
        <v>169705</v>
      </c>
      <c r="H28" s="4">
        <v>168945</v>
      </c>
      <c r="I28" s="2" t="s">
        <v>33</v>
      </c>
      <c r="J28" s="18" t="s">
        <v>42</v>
      </c>
      <c r="K28" s="18"/>
      <c r="L28" s="18" t="s">
        <v>43</v>
      </c>
      <c r="M28" s="18"/>
      <c r="N28" s="18"/>
      <c r="O28" s="18"/>
    </row>
    <row r="29" spans="1:15" ht="15" customHeight="1" x14ac:dyDescent="0.2">
      <c r="A29" s="6" t="s">
        <v>54</v>
      </c>
      <c r="B29" s="7">
        <v>2580751346</v>
      </c>
      <c r="C29" s="6" t="s">
        <v>20</v>
      </c>
      <c r="D29" s="6" t="s">
        <v>21</v>
      </c>
      <c r="E29" s="6" t="s">
        <v>40</v>
      </c>
      <c r="F29" s="6" t="s">
        <v>41</v>
      </c>
      <c r="G29" s="8">
        <v>169905</v>
      </c>
      <c r="H29" s="8">
        <v>169315</v>
      </c>
      <c r="I29" s="6" t="s">
        <v>54</v>
      </c>
      <c r="J29" s="19" t="s">
        <v>42</v>
      </c>
      <c r="K29" s="19"/>
      <c r="L29" s="19" t="s">
        <v>45</v>
      </c>
      <c r="M29" s="19"/>
      <c r="N29" s="19"/>
      <c r="O29" s="19"/>
    </row>
    <row r="30" spans="1:15" ht="15" customHeight="1" x14ac:dyDescent="0.2">
      <c r="A30" s="2" t="s">
        <v>34</v>
      </c>
      <c r="B30" s="3">
        <v>2580829277</v>
      </c>
      <c r="C30" s="2" t="s">
        <v>20</v>
      </c>
      <c r="D30" s="2" t="s">
        <v>46</v>
      </c>
      <c r="E30" s="2" t="s">
        <v>47</v>
      </c>
      <c r="F30" s="4">
        <v>169210</v>
      </c>
      <c r="G30" s="2"/>
      <c r="H30" s="2"/>
      <c r="I30" s="2" t="s">
        <v>34</v>
      </c>
      <c r="J30" s="18" t="s">
        <v>42</v>
      </c>
      <c r="K30" s="18"/>
      <c r="L30" s="18" t="s">
        <v>55</v>
      </c>
      <c r="M30" s="18"/>
      <c r="N30" s="18"/>
      <c r="O30" s="18"/>
    </row>
    <row r="31" spans="1:15" ht="24.95" customHeight="1" x14ac:dyDescent="0.2">
      <c r="A31" s="20" t="s">
        <v>56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spans="1:15" ht="20.100000000000001" customHeight="1" x14ac:dyDescent="0.2">
      <c r="A32" s="1" t="s">
        <v>8</v>
      </c>
      <c r="B32" s="1" t="s">
        <v>57</v>
      </c>
      <c r="C32" s="1" t="s">
        <v>10</v>
      </c>
      <c r="D32" s="1" t="s">
        <v>11</v>
      </c>
      <c r="E32" s="1" t="s">
        <v>58</v>
      </c>
      <c r="F32" s="1" t="s">
        <v>12</v>
      </c>
      <c r="G32" s="1" t="s">
        <v>13</v>
      </c>
      <c r="H32" s="1" t="s">
        <v>37</v>
      </c>
      <c r="I32" s="1" t="s">
        <v>16</v>
      </c>
      <c r="J32" s="15" t="s">
        <v>59</v>
      </c>
      <c r="K32" s="1" t="s">
        <v>17</v>
      </c>
      <c r="L32" s="1" t="s">
        <v>18</v>
      </c>
      <c r="M32" s="1" t="s">
        <v>60</v>
      </c>
      <c r="N32" s="15" t="s">
        <v>39</v>
      </c>
      <c r="O32" s="15"/>
    </row>
    <row r="33" spans="1:15" ht="15" customHeight="1" x14ac:dyDescent="0.2">
      <c r="A33" s="2" t="s">
        <v>19</v>
      </c>
      <c r="B33" s="3">
        <v>1870782188</v>
      </c>
      <c r="C33" s="2" t="s">
        <v>20</v>
      </c>
      <c r="D33" s="2" t="s">
        <v>21</v>
      </c>
      <c r="E33" s="2" t="s">
        <v>61</v>
      </c>
      <c r="F33" s="2" t="s">
        <v>27</v>
      </c>
      <c r="G33" s="4">
        <v>170275</v>
      </c>
      <c r="H33" s="3">
        <v>2580634547</v>
      </c>
      <c r="I33" s="16">
        <v>0</v>
      </c>
      <c r="J33" s="5">
        <v>0</v>
      </c>
      <c r="K33" s="5">
        <v>0</v>
      </c>
      <c r="L33" s="5">
        <v>0</v>
      </c>
      <c r="M33" s="5">
        <v>1009083</v>
      </c>
      <c r="N33" s="18" t="s">
        <v>43</v>
      </c>
      <c r="O33" s="18"/>
    </row>
    <row r="34" spans="1:15" ht="15" customHeight="1" x14ac:dyDescent="0.2">
      <c r="A34" s="6" t="s">
        <v>44</v>
      </c>
      <c r="B34" s="7">
        <v>1870794919</v>
      </c>
      <c r="C34" s="6" t="s">
        <v>20</v>
      </c>
      <c r="D34" s="6" t="s">
        <v>21</v>
      </c>
      <c r="E34" s="6" t="s">
        <v>61</v>
      </c>
      <c r="F34" s="6" t="s">
        <v>27</v>
      </c>
      <c r="G34" s="8">
        <v>170515</v>
      </c>
      <c r="H34" s="7">
        <v>2580649609</v>
      </c>
      <c r="I34" s="17">
        <v>0</v>
      </c>
      <c r="J34" s="9">
        <v>0</v>
      </c>
      <c r="K34" s="9">
        <v>0</v>
      </c>
      <c r="L34" s="9">
        <v>0</v>
      </c>
      <c r="M34" s="9">
        <v>1009083</v>
      </c>
      <c r="N34" s="19" t="s">
        <v>45</v>
      </c>
      <c r="O34" s="19"/>
    </row>
    <row r="35" spans="1:15" ht="15" customHeight="1" x14ac:dyDescent="0.2">
      <c r="A35" s="2" t="s">
        <v>23</v>
      </c>
      <c r="B35" s="3">
        <v>1870798092</v>
      </c>
      <c r="C35" s="2" t="s">
        <v>20</v>
      </c>
      <c r="D35" s="2" t="s">
        <v>46</v>
      </c>
      <c r="E35" s="2" t="s">
        <v>62</v>
      </c>
      <c r="F35" s="2" t="s">
        <v>22</v>
      </c>
      <c r="G35" s="4">
        <v>170305</v>
      </c>
      <c r="H35" s="3">
        <v>2580653585</v>
      </c>
      <c r="I35" s="16">
        <v>0</v>
      </c>
      <c r="J35" s="5">
        <v>0</v>
      </c>
      <c r="K35" s="5">
        <v>0</v>
      </c>
      <c r="L35" s="5">
        <v>36</v>
      </c>
      <c r="M35" s="5">
        <v>1009119</v>
      </c>
      <c r="N35" s="18" t="s">
        <v>48</v>
      </c>
      <c r="O35" s="18"/>
    </row>
    <row r="36" spans="1:15" ht="15" customHeight="1" x14ac:dyDescent="0.2">
      <c r="A36" s="6" t="s">
        <v>24</v>
      </c>
      <c r="B36" s="7">
        <v>1870799381</v>
      </c>
      <c r="C36" s="6" t="s">
        <v>20</v>
      </c>
      <c r="D36" s="6" t="s">
        <v>21</v>
      </c>
      <c r="E36" s="6" t="s">
        <v>61</v>
      </c>
      <c r="F36" s="6" t="s">
        <v>27</v>
      </c>
      <c r="G36" s="8">
        <v>170255</v>
      </c>
      <c r="H36" s="7">
        <v>2580655281</v>
      </c>
      <c r="I36" s="17">
        <v>0</v>
      </c>
      <c r="J36" s="9">
        <v>0</v>
      </c>
      <c r="K36" s="9">
        <v>0</v>
      </c>
      <c r="L36" s="9">
        <v>0</v>
      </c>
      <c r="M36" s="9">
        <v>1009119</v>
      </c>
      <c r="N36" s="19" t="s">
        <v>43</v>
      </c>
      <c r="O36" s="19"/>
    </row>
    <row r="37" spans="1:15" ht="15" customHeight="1" x14ac:dyDescent="0.2">
      <c r="A37" s="2" t="s">
        <v>49</v>
      </c>
      <c r="B37" s="3">
        <v>1870809635</v>
      </c>
      <c r="C37" s="2" t="s">
        <v>20</v>
      </c>
      <c r="D37" s="2" t="s">
        <v>21</v>
      </c>
      <c r="E37" s="2" t="s">
        <v>61</v>
      </c>
      <c r="F37" s="2" t="s">
        <v>27</v>
      </c>
      <c r="G37" s="4">
        <v>170490</v>
      </c>
      <c r="H37" s="3">
        <v>2580667628</v>
      </c>
      <c r="I37" s="16">
        <v>0</v>
      </c>
      <c r="J37" s="5">
        <v>0</v>
      </c>
      <c r="K37" s="5">
        <v>0</v>
      </c>
      <c r="L37" s="5">
        <v>0</v>
      </c>
      <c r="M37" s="5">
        <v>1009119</v>
      </c>
      <c r="N37" s="18" t="s">
        <v>45</v>
      </c>
      <c r="O37" s="18"/>
    </row>
    <row r="38" spans="1:15" ht="15" customHeight="1" x14ac:dyDescent="0.2">
      <c r="A38" s="6" t="s">
        <v>25</v>
      </c>
      <c r="B38" s="7">
        <v>1870812433</v>
      </c>
      <c r="C38" s="6" t="s">
        <v>20</v>
      </c>
      <c r="D38" s="6" t="s">
        <v>46</v>
      </c>
      <c r="E38" s="6" t="s">
        <v>62</v>
      </c>
      <c r="F38" s="6" t="s">
        <v>22</v>
      </c>
      <c r="G38" s="8">
        <v>170285</v>
      </c>
      <c r="H38" s="7">
        <v>2580671788</v>
      </c>
      <c r="I38" s="17">
        <v>0</v>
      </c>
      <c r="J38" s="9">
        <v>0</v>
      </c>
      <c r="K38" s="9">
        <v>0</v>
      </c>
      <c r="L38" s="9">
        <v>35</v>
      </c>
      <c r="M38" s="9">
        <v>1009154</v>
      </c>
      <c r="N38" s="19" t="s">
        <v>50</v>
      </c>
      <c r="O38" s="19"/>
    </row>
    <row r="39" spans="1:15" ht="15" customHeight="1" x14ac:dyDescent="0.2">
      <c r="A39" s="2" t="s">
        <v>26</v>
      </c>
      <c r="B39" s="3">
        <v>1870813279</v>
      </c>
      <c r="C39" s="2" t="s">
        <v>20</v>
      </c>
      <c r="D39" s="2" t="s">
        <v>21</v>
      </c>
      <c r="E39" s="2" t="s">
        <v>61</v>
      </c>
      <c r="F39" s="2" t="s">
        <v>27</v>
      </c>
      <c r="G39" s="4">
        <v>170250</v>
      </c>
      <c r="H39" s="3">
        <v>2580673003</v>
      </c>
      <c r="I39" s="16">
        <v>0</v>
      </c>
      <c r="J39" s="5">
        <v>0</v>
      </c>
      <c r="K39" s="5">
        <v>0</v>
      </c>
      <c r="L39" s="5">
        <v>0</v>
      </c>
      <c r="M39" s="5">
        <v>1009154</v>
      </c>
      <c r="N39" s="18" t="s">
        <v>43</v>
      </c>
      <c r="O39" s="18"/>
    </row>
    <row r="40" spans="1:15" ht="15" customHeight="1" x14ac:dyDescent="0.2">
      <c r="A40" s="6" t="s">
        <v>28</v>
      </c>
      <c r="B40" s="7">
        <v>1870820171</v>
      </c>
      <c r="C40" s="6" t="s">
        <v>20</v>
      </c>
      <c r="D40" s="6" t="s">
        <v>46</v>
      </c>
      <c r="E40" s="6" t="s">
        <v>62</v>
      </c>
      <c r="F40" s="6" t="s">
        <v>27</v>
      </c>
      <c r="G40" s="8">
        <v>170120</v>
      </c>
      <c r="H40" s="7">
        <v>2580681927</v>
      </c>
      <c r="I40" s="17">
        <v>0</v>
      </c>
      <c r="J40" s="9">
        <v>0</v>
      </c>
      <c r="K40" s="9">
        <v>0</v>
      </c>
      <c r="L40" s="9">
        <v>26</v>
      </c>
      <c r="M40" s="9">
        <v>1009180</v>
      </c>
      <c r="N40" s="19" t="s">
        <v>51</v>
      </c>
      <c r="O40" s="19"/>
    </row>
    <row r="41" spans="1:15" ht="15" customHeight="1" x14ac:dyDescent="0.2">
      <c r="A41" s="2" t="s">
        <v>29</v>
      </c>
      <c r="B41" s="3">
        <v>1870822234</v>
      </c>
      <c r="C41" s="2" t="s">
        <v>20</v>
      </c>
      <c r="D41" s="2" t="s">
        <v>21</v>
      </c>
      <c r="E41" s="2" t="s">
        <v>61</v>
      </c>
      <c r="F41" s="2" t="s">
        <v>27</v>
      </c>
      <c r="G41" s="4">
        <v>170035</v>
      </c>
      <c r="H41" s="3">
        <v>2580684798</v>
      </c>
      <c r="I41" s="16">
        <v>0</v>
      </c>
      <c r="J41" s="5">
        <v>0</v>
      </c>
      <c r="K41" s="5">
        <v>0</v>
      </c>
      <c r="L41" s="5">
        <v>0</v>
      </c>
      <c r="M41" s="5">
        <v>1009180</v>
      </c>
      <c r="N41" s="18" t="s">
        <v>43</v>
      </c>
      <c r="O41" s="18"/>
    </row>
    <row r="42" spans="1:15" ht="15" customHeight="1" x14ac:dyDescent="0.2">
      <c r="A42" s="6" t="s">
        <v>30</v>
      </c>
      <c r="B42" s="7">
        <v>1870834591</v>
      </c>
      <c r="C42" s="6" t="s">
        <v>20</v>
      </c>
      <c r="D42" s="6" t="s">
        <v>46</v>
      </c>
      <c r="E42" s="6" t="s">
        <v>62</v>
      </c>
      <c r="F42" s="6" t="s">
        <v>27</v>
      </c>
      <c r="G42" s="8">
        <v>169775</v>
      </c>
      <c r="H42" s="7">
        <v>2580700455</v>
      </c>
      <c r="I42" s="17">
        <v>0</v>
      </c>
      <c r="J42" s="9">
        <v>0</v>
      </c>
      <c r="K42" s="9">
        <v>0</v>
      </c>
      <c r="L42" s="9">
        <v>52</v>
      </c>
      <c r="M42" s="9">
        <v>1009232</v>
      </c>
      <c r="N42" s="19" t="s">
        <v>52</v>
      </c>
      <c r="O42" s="19"/>
    </row>
    <row r="43" spans="1:15" ht="15" customHeight="1" x14ac:dyDescent="0.2">
      <c r="A43" s="2" t="s">
        <v>31</v>
      </c>
      <c r="B43" s="3">
        <v>1870835855</v>
      </c>
      <c r="C43" s="2" t="s">
        <v>20</v>
      </c>
      <c r="D43" s="2" t="s">
        <v>21</v>
      </c>
      <c r="E43" s="2" t="s">
        <v>61</v>
      </c>
      <c r="F43" s="2" t="s">
        <v>27</v>
      </c>
      <c r="G43" s="4">
        <v>169775</v>
      </c>
      <c r="H43" s="3">
        <v>2580702199</v>
      </c>
      <c r="I43" s="16">
        <v>0</v>
      </c>
      <c r="J43" s="5">
        <v>0</v>
      </c>
      <c r="K43" s="5">
        <v>0</v>
      </c>
      <c r="L43" s="5">
        <v>0</v>
      </c>
      <c r="M43" s="5">
        <v>1009232</v>
      </c>
      <c r="N43" s="18" t="s">
        <v>43</v>
      </c>
      <c r="O43" s="18"/>
    </row>
    <row r="44" spans="1:15" ht="15" customHeight="1" x14ac:dyDescent="0.2">
      <c r="A44" s="6" t="s">
        <v>32</v>
      </c>
      <c r="B44" s="7">
        <v>1870846181</v>
      </c>
      <c r="C44" s="6" t="s">
        <v>20</v>
      </c>
      <c r="D44" s="6" t="s">
        <v>46</v>
      </c>
      <c r="E44" s="6" t="s">
        <v>62</v>
      </c>
      <c r="F44" s="6" t="s">
        <v>27</v>
      </c>
      <c r="G44" s="8">
        <v>169645</v>
      </c>
      <c r="H44" s="7">
        <v>2580716463</v>
      </c>
      <c r="I44" s="17">
        <v>0</v>
      </c>
      <c r="J44" s="9">
        <v>0</v>
      </c>
      <c r="K44" s="9">
        <v>0</v>
      </c>
      <c r="L44" s="9">
        <v>26</v>
      </c>
      <c r="M44" s="9">
        <v>1009258</v>
      </c>
      <c r="N44" s="19" t="s">
        <v>53</v>
      </c>
      <c r="O44" s="19"/>
    </row>
    <row r="45" spans="1:15" ht="15" customHeight="1" x14ac:dyDescent="0.2">
      <c r="A45" s="2" t="s">
        <v>33</v>
      </c>
      <c r="B45" s="3">
        <v>1870862158</v>
      </c>
      <c r="C45" s="2" t="s">
        <v>20</v>
      </c>
      <c r="D45" s="2" t="s">
        <v>21</v>
      </c>
      <c r="E45" s="2" t="s">
        <v>61</v>
      </c>
      <c r="F45" s="2" t="s">
        <v>27</v>
      </c>
      <c r="G45" s="4">
        <v>169195</v>
      </c>
      <c r="H45" s="3">
        <v>2580737339</v>
      </c>
      <c r="I45" s="16">
        <v>0</v>
      </c>
      <c r="J45" s="5">
        <v>0</v>
      </c>
      <c r="K45" s="5">
        <v>0</v>
      </c>
      <c r="L45" s="5">
        <v>0</v>
      </c>
      <c r="M45" s="5">
        <v>1009258</v>
      </c>
      <c r="N45" s="18" t="s">
        <v>43</v>
      </c>
      <c r="O45" s="18"/>
    </row>
    <row r="46" spans="1:15" ht="15" customHeight="1" x14ac:dyDescent="0.2">
      <c r="A46" s="6" t="s">
        <v>54</v>
      </c>
      <c r="B46" s="7">
        <v>1870875056</v>
      </c>
      <c r="C46" s="6" t="s">
        <v>20</v>
      </c>
      <c r="D46" s="6" t="s">
        <v>21</v>
      </c>
      <c r="E46" s="6" t="s">
        <v>61</v>
      </c>
      <c r="F46" s="6" t="s">
        <v>27</v>
      </c>
      <c r="G46" s="8">
        <v>169405</v>
      </c>
      <c r="H46" s="7">
        <v>2580751346</v>
      </c>
      <c r="I46" s="17">
        <v>0</v>
      </c>
      <c r="J46" s="9">
        <v>0</v>
      </c>
      <c r="K46" s="9">
        <v>0</v>
      </c>
      <c r="L46" s="9">
        <v>0</v>
      </c>
      <c r="M46" s="9">
        <v>1009258</v>
      </c>
      <c r="N46" s="19" t="s">
        <v>45</v>
      </c>
      <c r="O46" s="19"/>
    </row>
    <row r="47" spans="1:15" ht="15" customHeight="1" x14ac:dyDescent="0.2">
      <c r="A47" s="2" t="s">
        <v>34</v>
      </c>
      <c r="B47" s="3">
        <v>1870943874</v>
      </c>
      <c r="C47" s="2" t="s">
        <v>20</v>
      </c>
      <c r="D47" s="2" t="s">
        <v>46</v>
      </c>
      <c r="E47" s="2" t="s">
        <v>62</v>
      </c>
      <c r="F47" s="2" t="s">
        <v>22</v>
      </c>
      <c r="G47" s="4">
        <v>169210</v>
      </c>
      <c r="H47" s="3">
        <v>2580829277</v>
      </c>
      <c r="I47" s="16">
        <v>0</v>
      </c>
      <c r="J47" s="5">
        <v>0</v>
      </c>
      <c r="K47" s="5">
        <v>0</v>
      </c>
      <c r="L47" s="5">
        <v>36</v>
      </c>
      <c r="M47" s="5">
        <v>1009294</v>
      </c>
      <c r="N47" s="18" t="s">
        <v>55</v>
      </c>
      <c r="O47" s="18"/>
    </row>
    <row r="48" spans="1:15" ht="20.100000000000001" customHeight="1" x14ac:dyDescent="0.2">
      <c r="A48" s="21"/>
      <c r="B48" s="21"/>
      <c r="C48" s="21"/>
      <c r="D48" s="21"/>
      <c r="E48" s="21"/>
      <c r="F48" s="21"/>
      <c r="G48" s="21"/>
      <c r="H48" s="21"/>
      <c r="I48" s="10">
        <f>SUM(Sheet1!I33:I47)</f>
        <v>0</v>
      </c>
      <c r="J48" s="10">
        <f>SUM(Sheet1!J33:J47)</f>
        <v>0</v>
      </c>
      <c r="K48" s="10">
        <f>SUM(Sheet1!K33:K47)</f>
        <v>0</v>
      </c>
      <c r="L48" s="10">
        <v>211</v>
      </c>
      <c r="M48" s="10">
        <v>1009294</v>
      </c>
      <c r="N48" s="21"/>
      <c r="O48" s="21"/>
    </row>
    <row r="49" spans="1:11" ht="15" customHeight="1" x14ac:dyDescent="0.2">
      <c r="A49" s="19" t="s">
        <v>63</v>
      </c>
      <c r="B49" s="19"/>
      <c r="C49" s="19"/>
      <c r="D49" s="22">
        <v>1009294</v>
      </c>
      <c r="E49" s="22"/>
      <c r="G49" s="19" t="s">
        <v>64</v>
      </c>
      <c r="H49" s="19"/>
      <c r="I49" s="19"/>
      <c r="J49" s="22">
        <v>1009294</v>
      </c>
      <c r="K49" s="22"/>
    </row>
    <row r="50" spans="1:11" ht="15" customHeight="1" x14ac:dyDescent="0.2">
      <c r="A50" s="19" t="s">
        <v>65</v>
      </c>
      <c r="B50" s="19"/>
      <c r="C50" s="19"/>
      <c r="D50" s="22">
        <v>0</v>
      </c>
      <c r="E50" s="22"/>
      <c r="G50" s="19" t="s">
        <v>66</v>
      </c>
      <c r="H50" s="19"/>
      <c r="I50" s="19"/>
      <c r="J50" s="22">
        <v>0</v>
      </c>
      <c r="K50" s="22"/>
    </row>
    <row r="51" spans="1:11" ht="15" customHeight="1" x14ac:dyDescent="0.2">
      <c r="A51" s="19" t="s">
        <v>67</v>
      </c>
      <c r="B51" s="19"/>
      <c r="C51" s="19"/>
      <c r="D51" s="22">
        <v>0</v>
      </c>
      <c r="E51" s="22"/>
      <c r="G51" s="19" t="s">
        <v>68</v>
      </c>
      <c r="H51" s="19"/>
      <c r="I51" s="19"/>
      <c r="J51" s="23">
        <v>0</v>
      </c>
      <c r="K51" s="23"/>
    </row>
    <row r="52" spans="1:11" ht="15" customHeight="1" x14ac:dyDescent="0.2">
      <c r="A52" s="19" t="s">
        <v>69</v>
      </c>
      <c r="B52" s="19"/>
      <c r="C52" s="19"/>
      <c r="D52" s="22">
        <v>1009294</v>
      </c>
      <c r="E52" s="22"/>
    </row>
    <row r="73" spans="1:15" ht="24.95" customHeight="1" x14ac:dyDescent="0.2">
      <c r="A73" s="14" t="s">
        <v>70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</row>
    <row r="74" spans="1:15" ht="15" customHeight="1" x14ac:dyDescent="0.2">
      <c r="A74" s="19" t="s">
        <v>71</v>
      </c>
      <c r="B74" s="19"/>
      <c r="C74" s="19"/>
      <c r="D74" s="22">
        <v>211</v>
      </c>
      <c r="E74" s="19" t="s">
        <v>72</v>
      </c>
      <c r="F74" s="19"/>
      <c r="G74" s="19"/>
      <c r="H74" s="22">
        <v>211</v>
      </c>
      <c r="I74" s="19" t="s">
        <v>73</v>
      </c>
      <c r="J74" s="19"/>
      <c r="K74" s="19"/>
      <c r="L74" s="22">
        <v>0</v>
      </c>
      <c r="M74" s="22"/>
      <c r="N74" s="22"/>
    </row>
    <row r="75" spans="1:15" ht="15" customHeight="1" x14ac:dyDescent="0.2">
      <c r="A75" s="19" t="s">
        <v>74</v>
      </c>
      <c r="B75" s="19"/>
      <c r="C75" s="19"/>
      <c r="E75" s="19" t="s">
        <v>75</v>
      </c>
      <c r="F75" s="19"/>
      <c r="G75" s="19"/>
      <c r="H75" s="22">
        <v>35.166666999999997</v>
      </c>
    </row>
    <row r="76" spans="1:15" ht="15" customHeight="1" x14ac:dyDescent="0.2">
      <c r="A76" s="19" t="s">
        <v>76</v>
      </c>
      <c r="B76" s="19"/>
      <c r="C76" s="19"/>
      <c r="D76" s="22">
        <v>0</v>
      </c>
      <c r="E76" s="19" t="s">
        <v>77</v>
      </c>
      <c r="F76" s="19"/>
      <c r="G76" s="19"/>
      <c r="H76" s="22">
        <v>4.0479570000000002</v>
      </c>
    </row>
    <row r="77" spans="1:15" ht="15" customHeight="1" x14ac:dyDescent="0.2">
      <c r="A77" s="19" t="s">
        <v>78</v>
      </c>
      <c r="B77" s="19"/>
      <c r="C77" s="19"/>
    </row>
    <row r="78" spans="1:15" ht="15" customHeight="1" x14ac:dyDescent="0.2">
      <c r="A78" s="19" t="s">
        <v>79</v>
      </c>
      <c r="B78" s="19"/>
      <c r="C78" s="19"/>
      <c r="D78" s="22">
        <v>0</v>
      </c>
      <c r="E78" s="19" t="s">
        <v>80</v>
      </c>
      <c r="F78" s="19"/>
      <c r="G78" s="19"/>
      <c r="H78" s="24" t="s">
        <v>81</v>
      </c>
      <c r="I78" s="19" t="s">
        <v>82</v>
      </c>
      <c r="J78" s="19"/>
      <c r="K78" s="19"/>
      <c r="L78" s="24" t="s">
        <v>83</v>
      </c>
      <c r="M78" s="24"/>
      <c r="N78" s="24"/>
    </row>
    <row r="79" spans="1:15" ht="15" customHeight="1" x14ac:dyDescent="0.2">
      <c r="A79" s="19" t="s">
        <v>84</v>
      </c>
      <c r="B79" s="19"/>
      <c r="C79" s="19"/>
      <c r="D79" s="25">
        <v>6</v>
      </c>
      <c r="E79" s="19" t="s">
        <v>85</v>
      </c>
      <c r="F79" s="19"/>
      <c r="G79" s="19"/>
      <c r="H79" s="24" t="s">
        <v>86</v>
      </c>
      <c r="I79" s="19" t="s">
        <v>87</v>
      </c>
      <c r="J79" s="19"/>
      <c r="K79" s="19"/>
      <c r="L79" s="24" t="s">
        <v>88</v>
      </c>
      <c r="M79" s="24"/>
      <c r="N79" s="24"/>
    </row>
    <row r="80" spans="1:15" ht="15" customHeight="1" x14ac:dyDescent="0.2">
      <c r="E80" s="19" t="s">
        <v>89</v>
      </c>
      <c r="F80" s="19"/>
      <c r="G80" s="19"/>
      <c r="H80" s="24" t="s">
        <v>86</v>
      </c>
      <c r="I80" s="19" t="s">
        <v>90</v>
      </c>
      <c r="J80" s="19"/>
      <c r="K80" s="19"/>
      <c r="L80" s="24" t="s">
        <v>88</v>
      </c>
      <c r="M80" s="24"/>
      <c r="N80" s="24"/>
    </row>
    <row r="81" spans="5:14" ht="15" customHeight="1" x14ac:dyDescent="0.2">
      <c r="E81" s="19" t="s">
        <v>91</v>
      </c>
      <c r="F81" s="19"/>
      <c r="G81" s="19"/>
      <c r="H81" s="22">
        <v>52</v>
      </c>
      <c r="I81" s="19" t="s">
        <v>92</v>
      </c>
      <c r="J81" s="19"/>
      <c r="K81" s="19"/>
      <c r="L81" s="22">
        <v>0</v>
      </c>
      <c r="M81" s="22"/>
      <c r="N81" s="22"/>
    </row>
    <row r="82" spans="5:14" ht="15" customHeight="1" x14ac:dyDescent="0.2">
      <c r="E82" s="19" t="s">
        <v>93</v>
      </c>
      <c r="F82" s="19"/>
      <c r="G82" s="19"/>
      <c r="H82" s="22">
        <v>35.166666999999997</v>
      </c>
      <c r="I82" s="19" t="s">
        <v>94</v>
      </c>
      <c r="J82" s="19"/>
      <c r="K82" s="19"/>
      <c r="L82" s="22">
        <v>0</v>
      </c>
      <c r="M82" s="22"/>
      <c r="N82" s="22"/>
    </row>
    <row r="83" spans="5:14" ht="15" customHeight="1" x14ac:dyDescent="0.2">
      <c r="E83" s="19" t="s">
        <v>95</v>
      </c>
      <c r="F83" s="19"/>
      <c r="G83" s="19"/>
      <c r="H83" s="24" t="s">
        <v>96</v>
      </c>
      <c r="I83" s="19" t="s">
        <v>97</v>
      </c>
      <c r="J83" s="19"/>
      <c r="K83" s="19"/>
      <c r="L83" s="24" t="s">
        <v>98</v>
      </c>
      <c r="M83" s="24"/>
      <c r="N83" s="24"/>
    </row>
    <row r="84" spans="5:14" ht="15" customHeight="1" x14ac:dyDescent="0.2">
      <c r="E84" s="19" t="s">
        <v>99</v>
      </c>
      <c r="F84" s="19"/>
      <c r="G84" s="19"/>
      <c r="H84" s="24" t="s">
        <v>100</v>
      </c>
      <c r="I84" s="19" t="s">
        <v>101</v>
      </c>
      <c r="J84" s="19"/>
      <c r="K84" s="19"/>
      <c r="L84" s="24" t="s">
        <v>102</v>
      </c>
      <c r="M84" s="24"/>
      <c r="N84" s="24"/>
    </row>
    <row r="85" spans="5:14" ht="15" customHeight="1" x14ac:dyDescent="0.2">
      <c r="E85" s="19" t="s">
        <v>103</v>
      </c>
      <c r="F85" s="19"/>
      <c r="G85" s="19"/>
      <c r="H85" s="25">
        <v>6</v>
      </c>
      <c r="I85" s="19" t="s">
        <v>104</v>
      </c>
      <c r="J85" s="19"/>
      <c r="K85" s="19"/>
      <c r="L85" s="25">
        <v>0</v>
      </c>
      <c r="M85" s="25"/>
      <c r="N85" s="25"/>
    </row>
  </sheetData>
  <mergeCells count="150">
    <mergeCell ref="E84:G84"/>
    <mergeCell ref="H84"/>
    <mergeCell ref="I84:K84"/>
    <mergeCell ref="L84:N84"/>
    <mergeCell ref="E85:G85"/>
    <mergeCell ref="H85"/>
    <mergeCell ref="I85:K85"/>
    <mergeCell ref="L85:N85"/>
    <mergeCell ref="E81:G81"/>
    <mergeCell ref="H81"/>
    <mergeCell ref="I81:K81"/>
    <mergeCell ref="L81:N81"/>
    <mergeCell ref="E82:G82"/>
    <mergeCell ref="H82"/>
    <mergeCell ref="I82:K82"/>
    <mergeCell ref="L82:N82"/>
    <mergeCell ref="E83:G83"/>
    <mergeCell ref="H83"/>
    <mergeCell ref="I83:K83"/>
    <mergeCell ref="L83:N83"/>
    <mergeCell ref="I78:K78"/>
    <mergeCell ref="L78:N78"/>
    <mergeCell ref="A79:C79"/>
    <mergeCell ref="D79"/>
    <mergeCell ref="E79:G79"/>
    <mergeCell ref="H79"/>
    <mergeCell ref="I79:K79"/>
    <mergeCell ref="L79:N79"/>
    <mergeCell ref="E80:G80"/>
    <mergeCell ref="H80"/>
    <mergeCell ref="I80:K80"/>
    <mergeCell ref="L80:N80"/>
    <mergeCell ref="A76:C76"/>
    <mergeCell ref="D76"/>
    <mergeCell ref="E76:G76"/>
    <mergeCell ref="H76"/>
    <mergeCell ref="A77:C77"/>
    <mergeCell ref="A78:C78"/>
    <mergeCell ref="D78"/>
    <mergeCell ref="E78:G78"/>
    <mergeCell ref="H78"/>
    <mergeCell ref="A73:O73"/>
    <mergeCell ref="A74:C74"/>
    <mergeCell ref="D74"/>
    <mergeCell ref="E74:G74"/>
    <mergeCell ref="H74"/>
    <mergeCell ref="I74:K74"/>
    <mergeCell ref="L74:N74"/>
    <mergeCell ref="A75:C75"/>
    <mergeCell ref="E75:G75"/>
    <mergeCell ref="H75"/>
    <mergeCell ref="A50:C50"/>
    <mergeCell ref="D50:E50"/>
    <mergeCell ref="G50:I50"/>
    <mergeCell ref="J50:K50"/>
    <mergeCell ref="A51:C51"/>
    <mergeCell ref="D51:E51"/>
    <mergeCell ref="G51:I51"/>
    <mergeCell ref="J51:K51"/>
    <mergeCell ref="A52:C52"/>
    <mergeCell ref="D52:E52"/>
    <mergeCell ref="I45"/>
    <mergeCell ref="N45:O45"/>
    <mergeCell ref="I46"/>
    <mergeCell ref="N46:O46"/>
    <mergeCell ref="I47"/>
    <mergeCell ref="N47:O47"/>
    <mergeCell ref="A48:H48"/>
    <mergeCell ref="N48:O48"/>
    <mergeCell ref="A49:C49"/>
    <mergeCell ref="D49:E49"/>
    <mergeCell ref="G49:I49"/>
    <mergeCell ref="J49:K49"/>
    <mergeCell ref="I40"/>
    <mergeCell ref="N40:O40"/>
    <mergeCell ref="I41"/>
    <mergeCell ref="N41:O41"/>
    <mergeCell ref="I42"/>
    <mergeCell ref="N42:O42"/>
    <mergeCell ref="I43"/>
    <mergeCell ref="N43:O43"/>
    <mergeCell ref="I44"/>
    <mergeCell ref="N44:O44"/>
    <mergeCell ref="I35"/>
    <mergeCell ref="N35:O35"/>
    <mergeCell ref="I36"/>
    <mergeCell ref="N36:O36"/>
    <mergeCell ref="I37"/>
    <mergeCell ref="N37:O37"/>
    <mergeCell ref="I38"/>
    <mergeCell ref="N38:O38"/>
    <mergeCell ref="I39"/>
    <mergeCell ref="N39:O39"/>
    <mergeCell ref="J30:K30"/>
    <mergeCell ref="L30:O30"/>
    <mergeCell ref="A31:O31"/>
    <mergeCell ref="J32"/>
    <mergeCell ref="N32:O32"/>
    <mergeCell ref="I33"/>
    <mergeCell ref="N33:O33"/>
    <mergeCell ref="I34"/>
    <mergeCell ref="N34:O34"/>
    <mergeCell ref="J25:K25"/>
    <mergeCell ref="L25:O25"/>
    <mergeCell ref="J26:K26"/>
    <mergeCell ref="L26:O26"/>
    <mergeCell ref="J27:K27"/>
    <mergeCell ref="L27:O27"/>
    <mergeCell ref="J28:K28"/>
    <mergeCell ref="L28:O28"/>
    <mergeCell ref="J29:K29"/>
    <mergeCell ref="L29:O29"/>
    <mergeCell ref="J20:K20"/>
    <mergeCell ref="L20:O20"/>
    <mergeCell ref="J21:K21"/>
    <mergeCell ref="L21:O21"/>
    <mergeCell ref="J22:K22"/>
    <mergeCell ref="L22:O22"/>
    <mergeCell ref="J23:K23"/>
    <mergeCell ref="L23:O23"/>
    <mergeCell ref="J24:K24"/>
    <mergeCell ref="L24:O24"/>
    <mergeCell ref="J15:K15"/>
    <mergeCell ref="L15:O15"/>
    <mergeCell ref="J16:K16"/>
    <mergeCell ref="L16:O16"/>
    <mergeCell ref="J17:K17"/>
    <mergeCell ref="L17:O17"/>
    <mergeCell ref="J18:K18"/>
    <mergeCell ref="L18:O18"/>
    <mergeCell ref="J19:K19"/>
    <mergeCell ref="L19:O19"/>
    <mergeCell ref="A6:O6"/>
    <mergeCell ref="M7:O7"/>
    <mergeCell ref="M8:O8"/>
    <mergeCell ref="M9:O9"/>
    <mergeCell ref="M10:O10"/>
    <mergeCell ref="M11:O11"/>
    <mergeCell ref="M12:O12"/>
    <mergeCell ref="M13:O13"/>
    <mergeCell ref="A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2026-10-30T10:16:00Z</dcterms:created>
  <dcterms:modified xsi:type="dcterms:W3CDTF">2026-10-30T13:17:02Z</dcterms:modified>
  <cp:category>Reports</cp:category>
</cp:coreProperties>
</file>